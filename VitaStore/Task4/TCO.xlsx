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<sst xmlns="http://schemas.openxmlformats.org/spreadsheetml/2006/main" xmlns:a="http://schemas.openxmlformats.org/drawingml/2006/main" xmlns:a15="http://schemas.microsoft.com/office/drawing/2012/main" xmlns:asvg="http://schemas.microsoft.com/office/drawing/2016/SVG/main" xmlns:c="http://schemas.openxmlformats.org/drawingml/2006/chart" xmlns:co="http://ncloudtech.com" xmlns:co-ooxml="http://ncloudtech.com/ooxml" xmlns:m="http://schemas.openxmlformats.org/officeDocument/2006/math" xmlns:mc="http://schemas.openxmlformats.org/markup-compatibility/2006" xmlns:o="urn:schemas-microsoft-com:office:office" xmlns:p="http://schemas.openxmlformats.org/presentationml/2006/main" xmlns:pic="http://schemas.openxmlformats.org/drawingml/2006/picture" xmlns:r="http://schemas.openxmlformats.org/officeDocument/2006/relationships" xmlns:s="http://schemas.openxmlformats.org/officeDocument/2006/sharedTypes" xmlns:sl="http://schemas.openxmlformats.org/schemaLibrary/2006/main" xmlns:v="urn:schemas-microsoft-com:vml" xmlns:w="http://schemas.openxmlformats.org/wordprocessingml/2006/main" xmlns:w14="http://schemas.microsoft.com/office/word/2010/wordml" xmlns:w15="http://schemas.microsoft.com/office/word/2012/wordml" xmlns:wp="http://schemas.openxmlformats.org/drawingml/2006/wordprocessingDrawing" xmlns:wpg="http://schemas.microsoft.com/office/word/2010/wordprocessingGroup" xmlns:wps="http://schemas.microsoft.com/office/word/2010/wordprocessingShape" xmlns:x="urn:schemas-microsoft-com:office:excel" xmlns:x14="http://schemas.microsoft.com/office/spreadsheetml/2009/9/main" xmlns:xdr="http://schemas.openxmlformats.org/drawingml/2006/spreadsheetDrawing" xmlns:xm="http://schemas.microsoft.com/office/excel/2006/main" mc:Ignorable="co co-ooxml w14 x14 w15">
  <si>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b val="true"/>
        <sz val="12"/>
      </rPr>
      <t>Категория</t>
    </r>
  </si>
  <si>
    <r>
      <rPr>
        <rFont val="XO Thames"/>
        <b val="true"/>
        <sz val="12"/>
      </rPr>
      <t>Тип</t>
    </r>
  </si>
  <si>
    <r>
      <rPr>
        <rFont val="XO Thames"/>
        <b val="true"/>
        <sz val="12"/>
      </rPr>
      <t>Описание статьи затрат</t>
    </r>
  </si>
  <si>
    <r>
      <rPr>
        <rFont val="XO Thames"/>
        <b val="true"/>
        <sz val="12"/>
      </rPr>
      <t>AS‑IS</t>
    </r>
  </si>
  <si>
    <r>
      <rPr>
        <rFont val="Calibri"/>
        <b val="true"/>
        <sz val="11"/>
      </rPr>
      <t>TO-BE</t>
    </r>
  </si>
  <si>
    <r>
      <rPr>
        <rFont val="XO Thames"/>
        <b val="true"/>
        <sz val="12"/>
      </rPr>
      <t>1 год</t>
    </r>
  </si>
  <si>
    <r>
      <rPr>
        <rFont val="XO Thames"/>
        <b val="true"/>
        <sz val="12"/>
      </rPr>
      <t>2 года</t>
    </r>
  </si>
  <si>
    <r>
      <rPr>
        <rFont val="XO Thames"/>
        <b val="true"/>
        <sz val="12"/>
      </rPr>
      <t>3 года</t>
    </r>
  </si>
  <si>
    <t>Оборудование</t>
  </si>
  <si>
    <r>
      <t>AS-IS: CapEx/</t>
    </r>
    <r>
      <t>OpEx</t>
    </r>
    <r>
      <t xml:space="preserve">
</t>
    </r>
    <r>
      <t xml:space="preserve">TO-BE: </t>
    </r>
    <r>
      <rPr>
        <rFont val="XO Thames"/>
        <sz val="12"/>
      </rPr>
      <t>CapEx</t>
    </r>
  </si>
  <si>
    <t>Серверы и Edge Gateway</t>
  </si>
  <si>
    <t>-</t>
  </si>
  <si>
    <t>Лицензии/подписки</t>
  </si>
  <si>
    <t>OpEx</t>
  </si>
  <si>
    <t>Лицензии Win/SQL и Облако</t>
  </si>
  <si>
    <t>Выездные инженеры</t>
  </si>
  <si>
    <t>Зарплаты и командировки команды поддержки серверов</t>
  </si>
  <si>
    <t>Централизованная ИТ-дирекция HQ</t>
  </si>
  <si>
    <r>
      <t>А</t>
    </r>
    <r>
      <t>дминистрирование SAP / Cloud Backend. Управление интеграцией новых точек</t>
    </r>
  </si>
  <si>
    <t>Team Store Ops (легаси)</t>
  </si>
  <si>
    <t>Поддержка кассового софта в 100 магазинах. Сейчас перегружены</t>
  </si>
  <si>
    <t>Team Data Integration</t>
  </si>
  <si>
    <t>Ручное слияние баз данных при покупке сетей (AS-IS). Автоматизация через HAL/Data Integration (TO-BE)</t>
  </si>
  <si>
    <t>Простои из-за сбоев БД</t>
  </si>
  <si>
    <t>Потери выручки всех 100 магазинов при сбоях локальных серверов</t>
  </si>
  <si>
    <t>Потери из-за сетевых сбоев / SLA облака</t>
  </si>
  <si>
    <t>Упущенная выгода от невозможности принять карты лояльности при длительном отсутствии интернета</t>
  </si>
  <si>
    <t>Разработка и интеграция нового железа</t>
  </si>
  <si>
    <r>
      <rPr>
        <rFont val="XO Thames"/>
        <sz val="12"/>
      </rPr>
      <t>CapEx</t>
    </r>
  </si>
  <si>
    <t>Разовая разработка адаптеров HAL для разнородного оборудования. Закупка Edge Gateway для покрытия всей сети</t>
  </si>
  <si>
    <t>Каналы связи</t>
  </si>
  <si>
    <t>Резервируемый интернет-канал для работы Web POS App. Эта статья появляется только в TO-BE</t>
  </si>
  <si>
    <r>
      <rPr>
        <rFont val="XO Thames"/>
        <b val="true"/>
        <sz val="12"/>
      </rPr>
      <t>Итого (OpEx):</t>
    </r>
  </si>
  <si>
    <r>
      <rPr>
        <rFont val="XO Thames"/>
        <b val="true"/>
        <sz val="12"/>
      </rPr>
      <t>Итого (Opex+CapEx):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</si>
</sst>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#,##0" formatCode="#,##0" numFmtId="1000"/>
  </numFmts>
  <fonts count="4">
    <font>
      <name val="Calibri"/>
      <sz val="11"/>
    </font>
    <font>
      <name val="XO Thames"/>
      <sz val="12"/>
    </font>
    <font>
      <name val="XO Thames"/>
      <b val="true"/>
      <sz val="12"/>
    </font>
    <font>
      <name val="Calibri"/>
      <b val="true"/>
      <sz val="11"/>
    </font>
  </fonts>
  <fills count="2">
    <fill>
      <patternFill patternType="none"/>
    </fill>
    <fill>
      <patternFill patternType="gray125"/>
    </fill>
  </fills>
  <borders count="9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ck">
        <color rgb="000000" tint="0"/>
      </bottom>
    </border>
    <border>
      <left style="thin">
        <color rgb="000000" tint="0"/>
      </left>
      <right style="thin">
        <color rgb="000000" tint="0"/>
      </right>
      <top style="thick">
        <color rgb="000000" tint="0"/>
      </top>
      <bottom style="thin">
        <color rgb="000000" tint="0"/>
      </bottom>
    </border>
    <border>
      <top style="thick">
        <color rgb="000000" tint="0"/>
      </top>
      <bottom style="thin">
        <color rgb="000000" tint="0"/>
      </bottom>
    </border>
    <border>
      <right style="thin">
        <color rgb="000000" tint="0"/>
      </right>
      <top style="thick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borderId="0" fillId="0" fontId="1" quotePrefix="false"/>
  </cellStyleXfs>
  <cellXfs count="21">
    <xf applyFont="true" borderId="0" fillId="0" fontId="1" quotePrefix="false"/>
    <xf applyAlignment="true" applyBorder="true" applyFont="true" borderId="1" fillId="0" fontId="2" quotePrefix="false">
      <alignment horizontal="center" vertical="center"/>
    </xf>
    <xf applyAlignment="true" applyBorder="true" applyFont="true" borderId="1" fillId="0" fontId="3" quotePrefix="false">
      <alignment horizontal="center" vertical="center"/>
    </xf>
    <xf applyAlignment="true" applyBorder="true" applyFont="true" borderId="2" fillId="0" fontId="2" quotePrefix="false">
      <alignment horizontal="center" vertical="center"/>
    </xf>
    <xf applyAlignment="true" applyFont="true" borderId="0" fillId="0" fontId="1" quotePrefix="false">
      <alignment wrapText="true"/>
    </xf>
    <xf applyAlignment="true" applyBorder="true" applyFont="true" borderId="1" fillId="0" fontId="1" quotePrefix="false">
      <alignment horizontal="left" vertical="center" wrapText="true"/>
    </xf>
    <xf applyAlignment="true" applyBorder="true" applyFont="true" borderId="1" fillId="0" fontId="1" quotePrefix="false">
      <alignment horizontal="center" vertical="center"/>
    </xf>
    <xf applyAlignment="true" applyBorder="true" applyFont="true" borderId="1" fillId="0" fontId="1" quotePrefix="false">
      <alignment vertical="center" wrapText="true"/>
    </xf>
    <xf applyAlignment="true" applyBorder="true" applyFont="true" applyNumberFormat="true" borderId="1" fillId="0" fontId="1" numFmtId="1000" quotePrefix="false">
      <alignment horizontal="center" vertical="center"/>
    </xf>
    <xf applyAlignment="true" applyBorder="true" applyFont="true" borderId="3" fillId="0" fontId="1" quotePrefix="false">
      <alignment horizontal="left" vertical="center" wrapText="true"/>
    </xf>
    <xf applyAlignment="true" applyBorder="true" applyFont="true" borderId="3" fillId="0" fontId="1" quotePrefix="false">
      <alignment vertical="center" wrapText="true"/>
    </xf>
    <xf applyAlignment="true" applyBorder="true" applyFont="true" borderId="3" fillId="0" fontId="1" quotePrefix="false">
      <alignment horizontal="center" vertical="center"/>
    </xf>
    <xf applyAlignment="true" applyBorder="true" applyFont="true" applyNumberFormat="true" borderId="3" fillId="0" fontId="1" numFmtId="1000" quotePrefix="false">
      <alignment horizontal="center" vertical="center"/>
    </xf>
    <xf applyAlignment="true" applyBorder="true" applyFont="true" borderId="4" fillId="0" fontId="2" quotePrefix="false">
      <alignment horizontal="center" vertical="center"/>
    </xf>
    <xf applyAlignment="true" applyBorder="true" applyFont="true" borderId="5" fillId="0" fontId="2" quotePrefix="false">
      <alignment horizontal="center" vertical="center"/>
    </xf>
    <xf applyAlignment="true" applyBorder="true" applyFont="true" borderId="6" fillId="0" fontId="2" quotePrefix="false">
      <alignment horizontal="center" vertical="center"/>
    </xf>
    <xf applyAlignment="true" applyBorder="true" applyFont="true" borderId="4" fillId="0" fontId="1" quotePrefix="false">
      <alignment vertical="center"/>
    </xf>
    <xf applyAlignment="true" applyBorder="true" applyFont="true" borderId="7" fillId="0" fontId="2" quotePrefix="false">
      <alignment horizontal="center" vertical="center"/>
    </xf>
    <xf applyAlignment="true" applyBorder="true" applyFont="true" borderId="8" fillId="0" fontId="2" quotePrefix="false">
      <alignment horizontal="center" vertical="center"/>
    </xf>
    <xf applyBorder="true" applyFont="true" borderId="1" fillId="0" fontId="1" quotePrefix="false"/>
    <xf applyAlignment="true" applyFont="true" borderId="0" fillId="0" fontId="1" quotePrefix="false">
      <alignment horizontal="righ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cols>
    <col customWidth="true" hidden="false" max="1" min="1" outlineLevel="0" width="23.8137453274186"/>
    <col customWidth="true" hidden="false" max="2" min="2" outlineLevel="0" width="19.5565389749578"/>
    <col customWidth="true" hidden="false" max="3" min="3" outlineLevel="0" width="52.9365804443556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3</v>
      </c>
      <c r="G1" s="2" t="s">
        <v>4</v>
      </c>
      <c r="H1" s="1" t="s">
        <v>3</v>
      </c>
      <c r="I1" s="2" t="s">
        <v>4</v>
      </c>
    </row>
    <row outlineLevel="0" r="2">
      <c r="A2" s="3" t="s"/>
      <c r="B2" s="3" t="s"/>
      <c r="C2" s="3" t="s"/>
      <c r="D2" s="1" t="s">
        <v>5</v>
      </c>
      <c r="E2" s="1" t="s">
        <v>5</v>
      </c>
      <c r="F2" s="1" t="s">
        <v>6</v>
      </c>
      <c r="G2" s="1" t="s">
        <v>6</v>
      </c>
      <c r="H2" s="1" t="s">
        <v>7</v>
      </c>
      <c r="I2" s="1" t="s">
        <v>7</v>
      </c>
      <c r="J2" s="4" t="n"/>
    </row>
    <row outlineLevel="0" r="3">
      <c r="A3" s="5" t="s">
        <v>8</v>
      </c>
      <c r="B3" s="6" t="s">
        <v>9</v>
      </c>
      <c r="C3" s="7" t="s">
        <v>10</v>
      </c>
      <c r="D3" s="8" t="n">
        <v>6000000</v>
      </c>
      <c r="E3" s="8" t="n">
        <v>1000000</v>
      </c>
      <c r="F3" s="8" t="n">
        <v>6000000</v>
      </c>
      <c r="G3" s="6" t="s">
        <v>11</v>
      </c>
      <c r="H3" s="8" t="n">
        <v>6000000</v>
      </c>
      <c r="I3" s="6" t="s">
        <v>11</v>
      </c>
    </row>
    <row outlineLevel="0" r="4">
      <c r="A4" s="5" t="s">
        <v>12</v>
      </c>
      <c r="B4" s="6" t="s">
        <v>13</v>
      </c>
      <c r="C4" s="7" t="s">
        <v>14</v>
      </c>
      <c r="D4" s="6" t="s">
        <v>11</v>
      </c>
      <c r="E4" s="8" t="n">
        <v>1500000</v>
      </c>
      <c r="F4" s="6" t="s">
        <v>11</v>
      </c>
      <c r="G4" s="8" t="n">
        <v>1500000</v>
      </c>
      <c r="H4" s="6" t="s">
        <v>11</v>
      </c>
      <c r="I4" s="8" t="n">
        <v>1500000</v>
      </c>
    </row>
    <row outlineLevel="0" r="5">
      <c r="A5" s="5" t="s">
        <v>15</v>
      </c>
      <c r="B5" s="6" t="s">
        <v>13</v>
      </c>
      <c r="C5" s="7" t="s">
        <v>16</v>
      </c>
      <c r="D5" s="8" t="n">
        <v>7500000</v>
      </c>
      <c r="E5" s="6" t="s">
        <v>11</v>
      </c>
      <c r="F5" s="8" t="n">
        <v>7500000</v>
      </c>
      <c r="G5" s="6" t="s">
        <v>11</v>
      </c>
      <c r="H5" s="8" t="n">
        <v>7500000</v>
      </c>
      <c r="I5" s="6" t="s">
        <v>11</v>
      </c>
    </row>
    <row outlineLevel="0" r="6">
      <c r="A6" s="5" t="s">
        <v>17</v>
      </c>
      <c r="B6" s="6" t="s">
        <v>13</v>
      </c>
      <c r="C6" s="7" t="s">
        <v>18</v>
      </c>
      <c r="D6" s="8" t="n">
        <v>1000000</v>
      </c>
      <c r="E6" s="8" t="n">
        <v>2000000</v>
      </c>
      <c r="F6" s="8" t="n">
        <v>1000000</v>
      </c>
      <c r="G6" s="8" t="n">
        <v>2000000</v>
      </c>
      <c r="H6" s="8" t="n">
        <v>1000000</v>
      </c>
      <c r="I6" s="8" t="n">
        <v>2000000</v>
      </c>
    </row>
    <row outlineLevel="0" r="7">
      <c r="A7" s="5" t="s">
        <v>19</v>
      </c>
      <c r="B7" s="6" t="s">
        <v>13</v>
      </c>
      <c r="C7" s="7" t="s">
        <v>20</v>
      </c>
      <c r="D7" s="8" t="n">
        <v>1500000</v>
      </c>
      <c r="E7" s="8" t="n">
        <v>500000</v>
      </c>
      <c r="F7" s="8" t="n">
        <v>1500000</v>
      </c>
      <c r="G7" s="8" t="n">
        <v>500000</v>
      </c>
      <c r="H7" s="8" t="n">
        <v>1500000</v>
      </c>
      <c r="I7" s="8" t="n">
        <v>500000</v>
      </c>
    </row>
    <row outlineLevel="0" r="8">
      <c r="A8" s="5" t="s">
        <v>21</v>
      </c>
      <c r="B8" s="6" t="s">
        <v>13</v>
      </c>
      <c r="C8" s="7" t="s">
        <v>22</v>
      </c>
      <c r="D8" s="8" t="n">
        <v>1500000</v>
      </c>
      <c r="E8" s="8" t="n">
        <v>100000</v>
      </c>
      <c r="F8" s="8" t="n">
        <v>1500000</v>
      </c>
      <c r="G8" s="8" t="n">
        <v>100000</v>
      </c>
      <c r="H8" s="8" t="n">
        <v>1500000</v>
      </c>
      <c r="I8" s="8" t="n">
        <v>100000</v>
      </c>
    </row>
    <row outlineLevel="0" r="9">
      <c r="A9" s="5" t="s">
        <v>23</v>
      </c>
      <c r="B9" s="6" t="s">
        <v>13</v>
      </c>
      <c r="C9" s="7" t="s">
        <v>24</v>
      </c>
      <c r="D9" s="8" t="n">
        <v>1000000</v>
      </c>
      <c r="E9" s="6" t="s">
        <v>11</v>
      </c>
      <c r="F9" s="8" t="n">
        <v>1000000</v>
      </c>
      <c r="G9" s="6" t="s">
        <v>11</v>
      </c>
      <c r="H9" s="8" t="n">
        <v>1000000</v>
      </c>
      <c r="I9" s="6" t="s">
        <v>11</v>
      </c>
    </row>
    <row outlineLevel="0" r="10">
      <c r="A10" s="5" t="s">
        <v>25</v>
      </c>
      <c r="B10" s="6" t="s">
        <v>13</v>
      </c>
      <c r="C10" s="7" t="s">
        <v>26</v>
      </c>
      <c r="D10" s="6" t="s">
        <v>11</v>
      </c>
      <c r="E10" s="8" t="n">
        <v>50000</v>
      </c>
      <c r="F10" s="6" t="s">
        <v>11</v>
      </c>
      <c r="G10" s="8" t="n">
        <v>50000</v>
      </c>
      <c r="H10" s="6" t="s">
        <v>11</v>
      </c>
      <c r="I10" s="8" t="n">
        <v>50000</v>
      </c>
    </row>
    <row outlineLevel="0" r="11">
      <c r="A11" s="5" t="s">
        <v>27</v>
      </c>
      <c r="B11" s="6" t="s">
        <v>28</v>
      </c>
      <c r="C11" s="7" t="s">
        <v>29</v>
      </c>
      <c r="D11" s="6" t="s">
        <v>11</v>
      </c>
      <c r="E11" s="8" t="n">
        <v>3000000</v>
      </c>
      <c r="F11" s="6" t="s">
        <v>11</v>
      </c>
      <c r="G11" s="8" t="s">
        <v>11</v>
      </c>
      <c r="H11" s="6" t="s">
        <v>11</v>
      </c>
      <c r="I11" s="8" t="s">
        <v>11</v>
      </c>
    </row>
    <row outlineLevel="0" r="12">
      <c r="A12" s="9" t="s">
        <v>30</v>
      </c>
      <c r="B12" s="6" t="s">
        <v>13</v>
      </c>
      <c r="C12" s="10" t="s">
        <v>31</v>
      </c>
      <c r="D12" s="11" t="s">
        <v>11</v>
      </c>
      <c r="E12" s="12" t="n">
        <v>3000000</v>
      </c>
      <c r="F12" s="11" t="s">
        <v>11</v>
      </c>
      <c r="G12" s="12" t="n">
        <v>3000000</v>
      </c>
      <c r="H12" s="11" t="s">
        <v>11</v>
      </c>
      <c r="I12" s="12" t="n">
        <v>3000000</v>
      </c>
    </row>
    <row outlineLevel="0" r="13">
      <c r="A13" s="13" t="s">
        <v>32</v>
      </c>
      <c r="B13" s="14" t="s"/>
      <c r="C13" s="15" t="s"/>
      <c r="D13" s="16" t="n">
        <f aca="false" ca="false" dt2D="false" dtr="false" t="normal">SUM(D3:D9)</f>
        <v>18500000</v>
      </c>
      <c r="E13" s="16" t="n">
        <f aca="false" ca="false" dt2D="false" dtr="false" t="normal">SUM(E4:E10, E12)</f>
        <v>7150000</v>
      </c>
      <c r="F13" s="16" t="n">
        <f aca="false" ca="false" dt2D="false" dtr="false" t="normal">SUM(F3:F10, F12)</f>
        <v>18500000</v>
      </c>
      <c r="G13" s="16" t="n">
        <f aca="false" ca="false" dt2D="false" dtr="false" t="normal">SUM(G4:G10, G12)</f>
        <v>7150000</v>
      </c>
      <c r="H13" s="16" t="n">
        <f aca="false" ca="false" dt2D="false" dtr="false" t="normal">SUM(H3:H10, H12)</f>
        <v>18500000</v>
      </c>
      <c r="I13" s="16" t="n">
        <f aca="false" ca="false" dt2D="false" dtr="false" t="normal">SUM(I4:I10, I12)</f>
        <v>7150000</v>
      </c>
    </row>
    <row outlineLevel="0" r="14">
      <c r="A14" s="1" t="s">
        <v>33</v>
      </c>
      <c r="B14" s="17" t="s"/>
      <c r="C14" s="18" t="s"/>
      <c r="D14" s="19" t="n">
        <f aca="false" ca="false" dt2D="false" dtr="false" t="normal">SUM(D3:D12)</f>
        <v>18500000</v>
      </c>
      <c r="E14" s="19" t="n">
        <f aca="false" ca="false" dt2D="false" dtr="false" t="normal">SUM(E3:E12)</f>
        <v>11150000</v>
      </c>
      <c r="F14" s="19" t="n">
        <f aca="false" ca="false" dt2D="false" dtr="false" t="normal">SUM(F3:F12)</f>
        <v>18500000</v>
      </c>
      <c r="G14" s="19" t="n">
        <f aca="false" ca="false" dt2D="false" dtr="false" t="normal">SUM(G3:G12)</f>
        <v>7150000</v>
      </c>
      <c r="H14" s="19" t="n">
        <f aca="false" ca="false" dt2D="false" dtr="false" t="normal">SUM(H3:H12)</f>
        <v>18500000</v>
      </c>
      <c r="I14" s="19" t="n">
        <f aca="false" ca="false" dt2D="false" dtr="false" t="normal">SUM(I3:I12)</f>
        <v>7150000</v>
      </c>
    </row>
    <row outlineLevel="0" r="16">
      <c r="B16" s="20" t="n"/>
    </row>
  </sheetData>
  <mergeCells count="5">
    <mergeCell ref="C1:C2"/>
    <mergeCell ref="B1:B2"/>
    <mergeCell ref="A1:A2"/>
    <mergeCell ref="A13:C13"/>
    <mergeCell ref="A14:C14"/>
  </mergeCells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2026-10-15T18:53:47Z</dcterms:modified>
</cp:coreProperties>
</file>